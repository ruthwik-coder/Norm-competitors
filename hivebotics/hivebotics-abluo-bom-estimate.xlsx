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Read me" sheetId="2" state="visible" r:id="rId2"/>
    <sheet xmlns:r="http://schemas.openxmlformats.org/officeDocument/2006/relationships" name="Reconciliation" sheetId="3" state="visible" r:id="rId3"/>
    <sheet xmlns:r="http://schemas.openxmlformats.org/officeDocument/2006/relationships" name="Recurring per robot" sheetId="4" state="visible" r:id="rId4"/>
    <sheet xmlns:r="http://schemas.openxmlformats.org/officeDocument/2006/relationships" name="Sources" sheetId="5" state="visible" r:id="rId5"/>
  </sheets>
  <definedNames>
    <definedName name="_xlnm._FilterDatabase" localSheetId="0" hidden="1">'BOM'!$A$1:$O$33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9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1F3A5F"/>
      <sz val="11"/>
    </font>
    <font>
      <b val="1"/>
      <color rgb="00FFFFFF"/>
    </font>
    <font>
      <b val="1"/>
    </font>
    <font>
      <b val="1"/>
      <i val="1"/>
    </font>
    <font>
      <b val="1"/>
      <color rgb="001F3A5F"/>
      <sz val="12"/>
    </font>
    <font>
      <b val="1"/>
      <color rgb="001F3A5F"/>
      <sz val="13"/>
    </font>
    <font>
      <b val="1"/>
      <color rgb="001F3A5F"/>
    </font>
  </fonts>
  <fills count="10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8CBAD"/>
      </patternFill>
    </fill>
    <fill>
      <patternFill patternType="solid">
        <fgColor rgb="00DDEBF7"/>
      </patternFill>
    </fill>
    <fill>
      <patternFill patternType="solid">
        <fgColor rgb="00E8EEF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pivotButton="0" quotePrefix="0" xfId="0"/>
    <xf numFmtId="0" fontId="4" fillId="8" borderId="1" pivotButton="0" quotePrefix="0" xfId="0"/>
    <xf numFmtId="164" fontId="4" fillId="8" borderId="1" pivotButton="0" quotePrefix="0" xfId="0"/>
    <xf numFmtId="0" fontId="0" fillId="9" borderId="1" pivotButton="0" quotePrefix="0" xfId="0"/>
    <xf numFmtId="0" fontId="4" fillId="9" borderId="1" pivotButton="0" quotePrefix="0" xfId="0"/>
    <xf numFmtId="164" fontId="4" fillId="9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164" fontId="0" fillId="9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9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64" fontId="0" fillId="0" borderId="0" pivotButton="0" quotePrefix="0" xfId="0"/>
    <xf numFmtId="0" fontId="4" fillId="0" borderId="0" pivotButton="0" quotePrefix="0" xfId="0"/>
    <xf numFmtId="164" fontId="4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7" customWidth="1" min="2" max="2"/>
    <col width="46" customWidth="1" min="3" max="3"/>
    <col width="34" customWidth="1" min="4" max="4"/>
    <col width="22" customWidth="1" min="5" max="5"/>
    <col width="6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46" customWidth="1" min="13" max="13"/>
    <col width="16" customWidth="1" min="14" max="14"/>
    <col width="46" customWidth="1" min="15" max="15"/>
  </cols>
  <sheetData>
    <row r="1" ht="30" customHeight="1">
      <c r="A1" s="1" t="inlineStr">
        <is>
          <t>#</t>
        </is>
      </c>
      <c r="B1" s="1" t="inlineStr">
        <is>
          <t>Subsystem</t>
        </is>
      </c>
      <c r="C1" s="1" t="inlineStr">
        <is>
          <t>Component</t>
        </is>
      </c>
      <c r="D1" s="1" t="inlineStr">
        <is>
          <t>Make / model</t>
        </is>
      </c>
      <c r="E1" s="1" t="inlineStr">
        <is>
          <t>ID confidence</t>
        </is>
      </c>
      <c r="F1" s="1" t="inlineStr">
        <is>
          <t>Qty</t>
        </is>
      </c>
      <c r="G1" s="1" t="inlineStr">
        <is>
          <t>Unit low</t>
        </is>
      </c>
      <c r="H1" s="1" t="inlineStr">
        <is>
          <t>Unit high</t>
        </is>
      </c>
      <c r="I1" s="1" t="inlineStr">
        <is>
          <t>Unit mid</t>
        </is>
      </c>
      <c r="J1" s="1" t="inlineStr">
        <is>
          <t>Ext. low</t>
        </is>
      </c>
      <c r="K1" s="1" t="inlineStr">
        <is>
          <t>Ext. mid</t>
        </is>
      </c>
      <c r="L1" s="1" t="inlineStr">
        <is>
          <t>Ext. high</t>
        </is>
      </c>
      <c r="M1" s="1" t="inlineStr">
        <is>
          <t>Price basis</t>
        </is>
      </c>
      <c r="N1" s="1" t="inlineStr">
        <is>
          <t>KB evidence</t>
        </is>
      </c>
      <c r="O1" s="1" t="inlineStr">
        <is>
          <t>Notes</t>
        </is>
      </c>
    </row>
    <row r="2">
      <c r="A2" s="2" t="n">
        <v>1</v>
      </c>
      <c r="B2" s="2" t="inlineStr">
        <is>
          <t>Manipulation</t>
        </is>
      </c>
      <c r="C2" s="2" t="inlineStr">
        <is>
          <t>Robot arm, 6-DOF, 850 mm reach, 5 kg</t>
        </is>
      </c>
      <c r="D2" s="2" t="inlineStr">
        <is>
          <t>UFACTORY 850</t>
        </is>
      </c>
      <c r="E2" s="3" t="inlineStr">
        <is>
          <t>Confirmed</t>
        </is>
      </c>
      <c r="F2" s="2" t="n">
        <v>1</v>
      </c>
      <c r="G2" s="4" t="n">
        <v>8999</v>
      </c>
      <c r="H2" s="4" t="n">
        <v>10259</v>
      </c>
      <c r="I2" s="4">
        <f>AVERAGE(G2,H2)</f>
        <v/>
      </c>
      <c r="J2" s="4">
        <f>F2*G2</f>
        <v/>
      </c>
      <c r="K2" s="4">
        <f>F2*I2</f>
        <v/>
      </c>
      <c r="L2" s="4">
        <f>F2*H2</f>
        <v/>
      </c>
      <c r="M2" s="2" t="inlineStr">
        <is>
          <t>List price: UFACTORY store $8,999; RobotShop $10,259 (incl. DC box, US tariff)</t>
        </is>
      </c>
      <c r="N2" s="2" t="inlineStr">
        <is>
          <t>S061, S063, S071</t>
        </is>
      </c>
      <c r="O2" s="2" t="inlineStr">
        <is>
          <t>Code + brochure specs match</t>
        </is>
      </c>
    </row>
    <row r="3">
      <c r="A3" s="2" t="n">
        <v>2</v>
      </c>
      <c r="B3" s="2" t="inlineStr">
        <is>
          <t>Manipulation</t>
        </is>
      </c>
      <c r="C3" s="2" t="inlineStr">
        <is>
          <t>Arm control box (DC, battery-powered)</t>
        </is>
      </c>
      <c r="D3" s="2" t="inlineStr">
        <is>
          <t>UFACTORY 850 DC control box</t>
        </is>
      </c>
      <c r="E3" s="5" t="inlineStr">
        <is>
          <t>Inferred</t>
        </is>
      </c>
      <c r="F3" s="2" t="n">
        <v>1</v>
      </c>
      <c r="G3" s="4" t="n">
        <v>0</v>
      </c>
      <c r="H3" s="4" t="n">
        <v>499</v>
      </c>
      <c r="I3" s="4">
        <f>AVERAGE(G3,H3)</f>
        <v/>
      </c>
      <c r="J3" s="4">
        <f>F3*G3</f>
        <v/>
      </c>
      <c r="K3" s="4">
        <f>F3*I3</f>
        <v/>
      </c>
      <c r="L3" s="4">
        <f>F3*H3</f>
        <v/>
      </c>
      <c r="M3" s="2" t="inlineStr">
        <is>
          <t>List price $499 (may be bundled with arm)</t>
        </is>
      </c>
      <c r="N3" s="2" t="inlineStr">
        <is>
          <t>S071</t>
        </is>
      </c>
      <c r="O3" s="2" t="inlineStr">
        <is>
          <t>A battery robot most likely uses the DC box</t>
        </is>
      </c>
    </row>
    <row r="4">
      <c r="A4" s="2" t="n">
        <v>3</v>
      </c>
      <c r="B4" s="2" t="inlineStr">
        <is>
          <t>Manipulation</t>
        </is>
      </c>
      <c r="C4" s="2" t="inlineStr">
        <is>
          <t>6-axis force/torque sensor (wrist)</t>
        </is>
      </c>
      <c r="D4" s="2" t="inlineStr">
        <is>
          <t>UFACTORY 6-axis F/T sensor, 400 N</t>
        </is>
      </c>
      <c r="E4" s="6" t="inlineStr">
        <is>
          <t>Likely</t>
        </is>
      </c>
      <c r="F4" s="2" t="n">
        <v>1</v>
      </c>
      <c r="G4" s="4" t="n">
        <v>2970</v>
      </c>
      <c r="H4" s="4" t="n">
        <v>3300</v>
      </c>
      <c r="I4" s="4">
        <f>AVERAGE(G4,H4)</f>
        <v/>
      </c>
      <c r="J4" s="4">
        <f>F4*G4</f>
        <v/>
      </c>
      <c r="K4" s="4">
        <f>F4*I4</f>
        <v/>
      </c>
      <c r="L4" s="4">
        <f>F4*H4</f>
        <v/>
      </c>
      <c r="M4" s="2" t="inlineStr">
        <is>
          <t>List price: RobotShop $2,970; Top3DShop $3,300</t>
        </is>
      </c>
      <c r="N4" s="2" t="inlineStr">
        <is>
          <t>S071</t>
        </is>
      </c>
      <c r="O4" s="2" t="inlineStr">
        <is>
          <t>Code calls UFACTORY F/T API "for real hardware"</t>
        </is>
      </c>
    </row>
    <row r="5">
      <c r="A5" s="2" t="n">
        <v>4</v>
      </c>
      <c r="B5" s="2" t="inlineStr">
        <is>
          <t>Manipulation</t>
        </is>
      </c>
      <c r="C5" s="2" t="inlineStr">
        <is>
          <t>Automatic tool changer (arm side + tool plates)</t>
        </is>
      </c>
      <c r="D5" s="2" t="inlineStr">
        <is>
          <t>Unknown (patent: pneumatic; maybe custom)</t>
        </is>
      </c>
      <c r="E5" s="7" t="inlineStr">
        <is>
          <t>Guess</t>
        </is>
      </c>
      <c r="F5" s="2" t="n">
        <v>1</v>
      </c>
      <c r="G5" s="4" t="n">
        <v>800</v>
      </c>
      <c r="H5" s="4" t="n">
        <v>2500</v>
      </c>
      <c r="I5" s="4">
        <f>AVERAGE(G5,H5)</f>
        <v/>
      </c>
      <c r="J5" s="4">
        <f>F5*G5</f>
        <v/>
      </c>
      <c r="K5" s="4">
        <f>F5*I5</f>
        <v/>
      </c>
      <c r="L5" s="4">
        <f>F5*H5</f>
        <v/>
      </c>
      <c r="M5" s="2" t="inlineStr">
        <is>
          <t>Estimate</t>
        </is>
      </c>
      <c r="N5" s="2" t="inlineStr">
        <is>
          <t>S065, S075</t>
        </is>
      </c>
      <c r="O5" s="2" t="inlineStr">
        <is>
          <t>"Automatic Tool Switching" in deck</t>
        </is>
      </c>
    </row>
    <row r="6">
      <c r="A6" s="2" t="n">
        <v>5</v>
      </c>
      <c r="B6" s="2" t="inlineStr">
        <is>
          <t>Manipulation</t>
        </is>
      </c>
      <c r="C6" s="2" t="inlineStr">
        <is>
          <t>Tool heads + top tool rack (steam wand, vacuum, floor nozzle, chemical jet, seat lifter)</t>
        </is>
      </c>
      <c r="D6" s="2" t="inlineStr">
        <is>
          <t>Kärcher tools + custom adaptors</t>
        </is>
      </c>
      <c r="E6" s="8" t="inlineStr">
        <is>
          <t>Named (Kärcher)</t>
        </is>
      </c>
      <c r="F6" s="2" t="n">
        <v>1</v>
      </c>
      <c r="G6" s="4" t="n">
        <v>600</v>
      </c>
      <c r="H6" s="4" t="n">
        <v>1500</v>
      </c>
      <c r="I6" s="4">
        <f>AVERAGE(G6,H6)</f>
        <v/>
      </c>
      <c r="J6" s="4">
        <f>F6*G6</f>
        <v/>
      </c>
      <c r="K6" s="4">
        <f>F6*I6</f>
        <v/>
      </c>
      <c r="L6" s="4">
        <f>F6*H6</f>
        <v/>
      </c>
      <c r="M6" s="2" t="inlineStr">
        <is>
          <t>Estimate</t>
        </is>
      </c>
      <c r="N6" s="2" t="inlineStr">
        <is>
          <t>S075</t>
        </is>
      </c>
      <c r="O6" s="2" t="inlineStr">
        <is>
          <t>Yellow Kärcher floor nozzle visible in deck photos</t>
        </is>
      </c>
    </row>
    <row r="7">
      <c r="A7" s="2" t="n">
        <v>6</v>
      </c>
      <c r="B7" s="2" t="inlineStr">
        <is>
          <t>Cleaning system</t>
        </is>
      </c>
      <c r="C7" s="2" t="inlineStr">
        <is>
          <t>Steam + wet/dry vacuum unit (8 bar, 173 °C)</t>
        </is>
      </c>
      <c r="D7" s="2" t="inlineStr">
        <is>
          <t>Kärcher SGV 8/5 Classic (candidate)</t>
        </is>
      </c>
      <c r="E7" s="5" t="inlineStr">
        <is>
          <t>Inferred (spec match)</t>
        </is>
      </c>
      <c r="F7" s="2" t="n">
        <v>1</v>
      </c>
      <c r="G7" s="4" t="n">
        <v>4500</v>
      </c>
      <c r="H7" s="4" t="n">
        <v>6300</v>
      </c>
      <c r="I7" s="4">
        <f>AVERAGE(G7,H7)</f>
        <v/>
      </c>
      <c r="J7" s="4">
        <f>F7*G7</f>
        <v/>
      </c>
      <c r="K7" s="4">
        <f>F7*I7</f>
        <v/>
      </c>
      <c r="L7" s="4">
        <f>F7*H7</f>
        <v/>
      </c>
      <c r="M7" s="2" t="inlineStr">
        <is>
          <t>Retail: UK £3,690–4,000 ex VAT (~US$4.9–5.3k); SG S$8,899 incl GST (~US$6.3k). OEM/MOU price likely lower</t>
        </is>
      </c>
      <c r="N7" s="2" t="inlineStr">
        <is>
          <t>S061, S075, S104</t>
        </is>
      </c>
      <c r="O7" s="2" t="inlineStr">
        <is>
          <t>Brochure 3/5/8 bar, 173 °C max = SGV 8/5 datasheet (8 bar, 173 °C). Could be the boiler module only</t>
        </is>
      </c>
    </row>
    <row r="8">
      <c r="A8" s="2" t="n">
        <v>7</v>
      </c>
      <c r="B8" s="2" t="inlineStr">
        <is>
          <t>Cleaning system</t>
        </is>
      </c>
      <c r="C8" s="2" t="inlineStr">
        <is>
          <t>Hot-water heater (70 °C), water pump, chemical dosing pump (550 ml/min)</t>
        </is>
      </c>
      <c r="D8" s="2" t="inlineStr">
        <is>
          <t>Unknown</t>
        </is>
      </c>
      <c r="E8" s="7" t="inlineStr">
        <is>
          <t>Guess</t>
        </is>
      </c>
      <c r="F8" s="2" t="n">
        <v>1</v>
      </c>
      <c r="G8" s="4" t="n">
        <v>400</v>
      </c>
      <c r="H8" s="4" t="n">
        <v>900</v>
      </c>
      <c r="I8" s="4">
        <f>AVERAGE(G8,H8)</f>
        <v/>
      </c>
      <c r="J8" s="4">
        <f>F8*G8</f>
        <v/>
      </c>
      <c r="K8" s="4">
        <f>F8*I8</f>
        <v/>
      </c>
      <c r="L8" s="4">
        <f>F8*H8</f>
        <v/>
      </c>
      <c r="M8" s="2" t="inlineStr">
        <is>
          <t>Estimate</t>
        </is>
      </c>
      <c r="N8" s="2" t="inlineStr">
        <is>
          <t>S061</t>
        </is>
      </c>
      <c r="O8" s="2" t="inlineStr">
        <is>
          <t>Brochure: hot/cold spray, chemical jet</t>
        </is>
      </c>
    </row>
    <row r="9">
      <c r="A9" s="2" t="n">
        <v>8</v>
      </c>
      <c r="B9" s="2" t="inlineStr">
        <is>
          <t>Cleaning system</t>
        </is>
      </c>
      <c r="C9" s="2" t="inlineStr">
        <is>
          <t>Tanks (13 L clean / 5 L waste / 2 L chemical), valves, solenoids, hoses, quick-connects</t>
        </is>
      </c>
      <c r="D9" s="2" t="inlineStr">
        <is>
          <t>Unknown</t>
        </is>
      </c>
      <c r="E9" s="7" t="inlineStr">
        <is>
          <t>Guess</t>
        </is>
      </c>
      <c r="F9" s="2" t="n">
        <v>1</v>
      </c>
      <c r="G9" s="4" t="n">
        <v>400</v>
      </c>
      <c r="H9" s="4" t="n">
        <v>900</v>
      </c>
      <c r="I9" s="4">
        <f>AVERAGE(G9,H9)</f>
        <v/>
      </c>
      <c r="J9" s="4">
        <f>F9*G9</f>
        <v/>
      </c>
      <c r="K9" s="4">
        <f>F9*I9</f>
        <v/>
      </c>
      <c r="L9" s="4">
        <f>F9*H9</f>
        <v/>
      </c>
      <c r="M9" s="2" t="inlineStr">
        <is>
          <t>Estimate</t>
        </is>
      </c>
      <c r="N9" s="2" t="inlineStr">
        <is>
          <t>S061</t>
        </is>
      </c>
      <c r="O9" s="2" t="inlineStr">
        <is>
          <t>Blue quick-connect fittings in photos</t>
        </is>
      </c>
    </row>
    <row r="10">
      <c r="A10" s="2" t="n">
        <v>9</v>
      </c>
      <c r="B10" s="2" t="inlineStr">
        <is>
          <t>Cleaning system</t>
        </is>
      </c>
      <c r="C10" s="2" t="inlineStr">
        <is>
          <t>Blow-dry blower</t>
        </is>
      </c>
      <c r="D10" s="2" t="inlineStr">
        <is>
          <t>Unknown</t>
        </is>
      </c>
      <c r="E10" s="7" t="inlineStr">
        <is>
          <t>Guess</t>
        </is>
      </c>
      <c r="F10" s="2" t="n">
        <v>1</v>
      </c>
      <c r="G10" s="4" t="n">
        <v>150</v>
      </c>
      <c r="H10" s="4" t="n">
        <v>400</v>
      </c>
      <c r="I10" s="4">
        <f>AVERAGE(G10,H10)</f>
        <v/>
      </c>
      <c r="J10" s="4">
        <f>F10*G10</f>
        <v/>
      </c>
      <c r="K10" s="4">
        <f>F10*I10</f>
        <v/>
      </c>
      <c r="L10" s="4">
        <f>F10*H10</f>
        <v/>
      </c>
      <c r="M10" s="2" t="inlineStr">
        <is>
          <t>Estimate</t>
        </is>
      </c>
      <c r="N10" s="2" t="inlineStr">
        <is>
          <t>S056, S061</t>
        </is>
      </c>
      <c r="O10" s="2" t="inlineStr"/>
    </row>
    <row r="11">
      <c r="A11" s="2" t="n">
        <v>10</v>
      </c>
      <c r="B11" s="2" t="inlineStr">
        <is>
          <t>Cleaning system</t>
        </is>
      </c>
      <c r="C11" s="2" t="inlineStr">
        <is>
          <t>Inverter 48 V DC → 230 V AC, ~3 kW (if stock Kärcher runs on mains)</t>
        </is>
      </c>
      <c r="D11" s="2" t="inlineStr">
        <is>
          <t>Unknown</t>
        </is>
      </c>
      <c r="E11" s="7" t="inlineStr">
        <is>
          <t>Guess</t>
        </is>
      </c>
      <c r="F11" s="2" t="n">
        <v>1</v>
      </c>
      <c r="G11" s="4" t="n">
        <v>500</v>
      </c>
      <c r="H11" s="4" t="n">
        <v>1200</v>
      </c>
      <c r="I11" s="4">
        <f>AVERAGE(G11,H11)</f>
        <v/>
      </c>
      <c r="J11" s="4">
        <f>F11*G11</f>
        <v/>
      </c>
      <c r="K11" s="4">
        <f>F11*I11</f>
        <v/>
      </c>
      <c r="L11" s="4">
        <f>F11*H11</f>
        <v/>
      </c>
      <c r="M11" s="2" t="inlineStr">
        <is>
          <t>Estimate</t>
        </is>
      </c>
      <c r="N11" s="2" t="inlineStr"/>
      <c r="O11" s="2" t="inlineStr">
        <is>
          <t>Only needed if the steam unit is not converted to DC. 75 g/min steam is ~3 kW</t>
        </is>
      </c>
    </row>
    <row r="12">
      <c r="A12" s="2" t="n">
        <v>11</v>
      </c>
      <c r="B12" s="2" t="inlineStr">
        <is>
          <t>Mobile base</t>
        </is>
      </c>
      <c r="C12" s="2" t="inlineStr">
        <is>
          <t>Mecanum wheels, heavy duty (200 kg robot)</t>
        </is>
      </c>
      <c r="D12" s="2" t="inlineStr">
        <is>
          <t>Unknown</t>
        </is>
      </c>
      <c r="E12" s="5" t="inlineStr">
        <is>
          <t>Mecanum confirmed; supplier unknown</t>
        </is>
      </c>
      <c r="F12" s="2" t="n">
        <v>4</v>
      </c>
      <c r="G12" s="4" t="n">
        <v>150</v>
      </c>
      <c r="H12" s="4" t="n">
        <v>400</v>
      </c>
      <c r="I12" s="4">
        <f>AVERAGE(G12,H12)</f>
        <v/>
      </c>
      <c r="J12" s="4">
        <f>F12*G12</f>
        <v/>
      </c>
      <c r="K12" s="4">
        <f>F12*I12</f>
        <v/>
      </c>
      <c r="L12" s="4">
        <f>F12*H12</f>
        <v/>
      </c>
      <c r="M12" s="2" t="inlineStr">
        <is>
          <t>Estimate</t>
        </is>
      </c>
      <c r="N12" s="2" t="inlineStr">
        <is>
          <t>S071</t>
        </is>
      </c>
      <c r="O12" s="2" t="inlineStr"/>
    </row>
    <row r="13">
      <c r="A13" s="2" t="n">
        <v>12</v>
      </c>
      <c r="B13" s="2" t="inlineStr">
        <is>
          <t>Mobile base</t>
        </is>
      </c>
      <c r="C13" s="2" t="inlineStr">
        <is>
          <t>Drive motors + gearboxes + servo drivers</t>
        </is>
      </c>
      <c r="D13" s="2" t="inlineStr">
        <is>
          <t>Unknown (Gemini guessed ZLAC etc., unsupported)</t>
        </is>
      </c>
      <c r="E13" s="7" t="inlineStr">
        <is>
          <t>Guess</t>
        </is>
      </c>
      <c r="F13" s="2" t="n">
        <v>4</v>
      </c>
      <c r="G13" s="4" t="n">
        <v>300</v>
      </c>
      <c r="H13" s="4" t="n">
        <v>700</v>
      </c>
      <c r="I13" s="4">
        <f>AVERAGE(G13,H13)</f>
        <v/>
      </c>
      <c r="J13" s="4">
        <f>F13*G13</f>
        <v/>
      </c>
      <c r="K13" s="4">
        <f>F13*I13</f>
        <v/>
      </c>
      <c r="L13" s="4">
        <f>F13*H13</f>
        <v/>
      </c>
      <c r="M13" s="2" t="inlineStr">
        <is>
          <t>Estimate</t>
        </is>
      </c>
      <c r="N13" s="2" t="inlineStr">
        <is>
          <t>S062</t>
        </is>
      </c>
      <c r="O13" s="2" t="inlineStr"/>
    </row>
    <row r="14">
      <c r="A14" s="2" t="n">
        <v>13</v>
      </c>
      <c r="B14" s="2" t="inlineStr">
        <is>
          <t>Mobile base</t>
        </is>
      </c>
      <c r="C14" s="2" t="inlineStr">
        <is>
          <t>Chassis frame (steel/aluminium)</t>
        </is>
      </c>
      <c r="D14" s="2" t="inlineStr">
        <is>
          <t>Custom</t>
        </is>
      </c>
      <c r="E14" s="7" t="inlineStr">
        <is>
          <t>Guess</t>
        </is>
      </c>
      <c r="F14" s="2" t="n">
        <v>1</v>
      </c>
      <c r="G14" s="4" t="n">
        <v>800</v>
      </c>
      <c r="H14" s="4" t="n">
        <v>2000</v>
      </c>
      <c r="I14" s="4">
        <f>AVERAGE(G14,H14)</f>
        <v/>
      </c>
      <c r="J14" s="4">
        <f>F14*G14</f>
        <v/>
      </c>
      <c r="K14" s="4">
        <f>F14*I14</f>
        <v/>
      </c>
      <c r="L14" s="4">
        <f>F14*H14</f>
        <v/>
      </c>
      <c r="M14" s="2" t="inlineStr">
        <is>
          <t>Estimate</t>
        </is>
      </c>
      <c r="N14" s="2" t="inlineStr">
        <is>
          <t>S075</t>
        </is>
      </c>
      <c r="O14" s="2" t="inlineStr">
        <is>
          <t>"Custom Integrated AMR" (deck p.18)</t>
        </is>
      </c>
    </row>
    <row r="15">
      <c r="A15" s="2" t="n">
        <v>14</v>
      </c>
      <c r="B15" s="2" t="inlineStr">
        <is>
          <t>Sensing</t>
        </is>
      </c>
      <c r="C15" s="2" t="inlineStr">
        <is>
          <t>3D LiDAR, 360° × 59°</t>
        </is>
      </c>
      <c r="D15" s="2" t="inlineStr">
        <is>
          <t>Livox Mid-360</t>
        </is>
      </c>
      <c r="E15" s="3" t="inlineStr">
        <is>
          <t>High (all 6 specs match)</t>
        </is>
      </c>
      <c r="F15" s="2" t="n">
        <v>1</v>
      </c>
      <c r="G15" s="4" t="n">
        <v>749</v>
      </c>
      <c r="H15" s="4" t="n">
        <v>979</v>
      </c>
      <c r="I15" s="4">
        <f>AVERAGE(G15,H15)</f>
        <v/>
      </c>
      <c r="J15" s="4">
        <f>F15*G15</f>
        <v/>
      </c>
      <c r="K15" s="4">
        <f>F15*I15</f>
        <v/>
      </c>
      <c r="L15" s="4">
        <f>F15*H15</f>
        <v/>
      </c>
      <c r="M15" s="2" t="inlineStr">
        <is>
          <t>List: Livox $749 (2023 launch) → $979 (2026)</t>
        </is>
      </c>
      <c r="N15" s="2" t="inlineStr">
        <is>
          <t>S061, S063</t>
        </is>
      </c>
      <c r="O15" s="2" t="inlineStr"/>
    </row>
    <row r="16">
      <c r="A16" s="2" t="n">
        <v>15</v>
      </c>
      <c r="B16" s="2" t="inlineStr">
        <is>
          <t>Sensing</t>
        </is>
      </c>
      <c r="C16" s="2" t="inlineStr">
        <is>
          <t>Depth + RGB camera (body)</t>
        </is>
      </c>
      <c r="D16" s="2" t="inlineStr">
        <is>
          <t>Luxonis OAK-D S2 PoE (AF)</t>
        </is>
      </c>
      <c r="E16" s="3" t="inlineStr">
        <is>
          <t>Confirmed</t>
        </is>
      </c>
      <c r="F16" s="2" t="n">
        <v>1</v>
      </c>
      <c r="G16" s="4" t="n">
        <v>479</v>
      </c>
      <c r="H16" s="4" t="n">
        <v>479</v>
      </c>
      <c r="I16" s="4">
        <f>AVERAGE(G16,H16)</f>
        <v/>
      </c>
      <c r="J16" s="4">
        <f>F16*G16</f>
        <v/>
      </c>
      <c r="K16" s="4">
        <f>F16*I16</f>
        <v/>
      </c>
      <c r="L16" s="4">
        <f>F16*H16</f>
        <v/>
      </c>
      <c r="M16" s="2" t="inlineStr">
        <is>
          <t>List: Luxonis store $479</t>
        </is>
      </c>
      <c r="N16" s="2" t="inlineStr">
        <is>
          <t>S071, S072</t>
        </is>
      </c>
      <c r="O16" s="2" t="inlineStr"/>
    </row>
    <row r="17">
      <c r="A17" s="2" t="n">
        <v>16</v>
      </c>
      <c r="B17" s="2" t="inlineStr">
        <is>
          <t>Sensing</t>
        </is>
      </c>
      <c r="C17" s="2" t="inlineStr">
        <is>
          <t>Depth camera (newer, role unknown)</t>
        </is>
      </c>
      <c r="D17" s="2" t="inlineStr">
        <is>
          <t>Orbbec Gemini 335Le</t>
        </is>
      </c>
      <c r="E17" s="3" t="inlineStr">
        <is>
          <t>Confirmed in code</t>
        </is>
      </c>
      <c r="F17" s="2" t="n">
        <v>1</v>
      </c>
      <c r="G17" s="4" t="n">
        <v>413</v>
      </c>
      <c r="H17" s="4" t="n">
        <v>464</v>
      </c>
      <c r="I17" s="4">
        <f>AVERAGE(G17,H17)</f>
        <v/>
      </c>
      <c r="J17" s="4">
        <f>F17*G17</f>
        <v/>
      </c>
      <c r="K17" s="4">
        <f>F17*I17</f>
        <v/>
      </c>
      <c r="L17" s="4">
        <f>F17*H17</f>
        <v/>
      </c>
      <c r="M17" s="2" t="inlineStr">
        <is>
          <t>Retail $464 (335L USB: $413)</t>
        </is>
      </c>
      <c r="N17" s="2" t="inlineStr">
        <is>
          <t>S071</t>
        </is>
      </c>
      <c r="O17" s="2" t="inlineStr">
        <is>
          <t>May replace the OAK-D rather than add to it</t>
        </is>
      </c>
    </row>
    <row r="18">
      <c r="A18" s="2" t="n">
        <v>17</v>
      </c>
      <c r="B18" s="2" t="inlineStr">
        <is>
          <t>Sensing</t>
        </is>
      </c>
      <c r="C18" s="2" t="inlineStr">
        <is>
          <t>Wrist camera</t>
        </is>
      </c>
      <c r="D18" s="2" t="inlineStr">
        <is>
          <t>Intel RealSense D435i</t>
        </is>
      </c>
      <c r="E18" s="6" t="inlineStr">
        <is>
          <t>Likely</t>
        </is>
      </c>
      <c r="F18" s="2" t="n">
        <v>1</v>
      </c>
      <c r="G18" s="4" t="n">
        <v>330</v>
      </c>
      <c r="H18" s="4" t="n">
        <v>420</v>
      </c>
      <c r="I18" s="4">
        <f>AVERAGE(G18,H18)</f>
        <v/>
      </c>
      <c r="J18" s="4">
        <f>F18*G18</f>
        <v/>
      </c>
      <c r="K18" s="4">
        <f>F18*I18</f>
        <v/>
      </c>
      <c r="L18" s="4">
        <f>F18*H18</f>
        <v/>
      </c>
      <c r="M18" s="2" t="inlineStr">
        <is>
          <t>Retail (general knowledge)</t>
        </is>
      </c>
      <c r="N18" s="2" t="inlineStr">
        <is>
          <t>S071, S075</t>
        </is>
      </c>
      <c r="O18" s="2" t="inlineStr">
        <is>
          <t>Real wrist feed in deck screenshot</t>
        </is>
      </c>
    </row>
    <row r="19">
      <c r="A19" s="2" t="n">
        <v>18</v>
      </c>
      <c r="B19" s="2" t="inlineStr">
        <is>
          <t>Sensing</t>
        </is>
      </c>
      <c r="C19" s="2" t="inlineStr">
        <is>
          <t>Ultrasonic sensors</t>
        </is>
      </c>
      <c r="D19" s="2" t="inlineStr">
        <is>
          <t>Unknown</t>
        </is>
      </c>
      <c r="E19" s="7" t="inlineStr">
        <is>
          <t>Guess (qty)</t>
        </is>
      </c>
      <c r="F19" s="2" t="n">
        <v>8</v>
      </c>
      <c r="G19" s="4" t="n">
        <v>20</v>
      </c>
      <c r="H19" s="4" t="n">
        <v>60</v>
      </c>
      <c r="I19" s="4">
        <f>AVERAGE(G19,H19)</f>
        <v/>
      </c>
      <c r="J19" s="4">
        <f>F19*G19</f>
        <v/>
      </c>
      <c r="K19" s="4">
        <f>F19*I19</f>
        <v/>
      </c>
      <c r="L19" s="4">
        <f>F19*H19</f>
        <v/>
      </c>
      <c r="M19" s="2" t="inlineStr">
        <is>
          <t>Estimate</t>
        </is>
      </c>
      <c r="N19" s="2" t="inlineStr">
        <is>
          <t>S061</t>
        </is>
      </c>
      <c r="O19" s="2" t="inlineStr"/>
    </row>
    <row r="20">
      <c r="A20" s="2" t="n">
        <v>19</v>
      </c>
      <c r="B20" s="2" t="inlineStr">
        <is>
          <t>Sensing</t>
        </is>
      </c>
      <c r="C20" s="2" t="inlineStr">
        <is>
          <t>Cliff sensors (360°)</t>
        </is>
      </c>
      <c r="D20" s="2" t="inlineStr">
        <is>
          <t>Unknown</t>
        </is>
      </c>
      <c r="E20" s="7" t="inlineStr">
        <is>
          <t>Guess (qty)</t>
        </is>
      </c>
      <c r="F20" s="2" t="n">
        <v>6</v>
      </c>
      <c r="G20" s="4" t="n">
        <v>15</v>
      </c>
      <c r="H20" s="4" t="n">
        <v>40</v>
      </c>
      <c r="I20" s="4">
        <f>AVERAGE(G20,H20)</f>
        <v/>
      </c>
      <c r="J20" s="4">
        <f>F20*G20</f>
        <v/>
      </c>
      <c r="K20" s="4">
        <f>F20*I20</f>
        <v/>
      </c>
      <c r="L20" s="4">
        <f>F20*H20</f>
        <v/>
      </c>
      <c r="M20" s="2" t="inlineStr">
        <is>
          <t>Estimate</t>
        </is>
      </c>
      <c r="N20" s="2" t="inlineStr">
        <is>
          <t>S061</t>
        </is>
      </c>
      <c r="O20" s="2" t="inlineStr"/>
    </row>
    <row r="21">
      <c r="A21" s="2" t="n">
        <v>20</v>
      </c>
      <c r="B21" s="2" t="inlineStr">
        <is>
          <t>Sensing</t>
        </is>
      </c>
      <c r="C21" s="2" t="inlineStr">
        <is>
          <t>Bumper, e-stop, safety relay</t>
        </is>
      </c>
      <c r="D21" s="2" t="inlineStr">
        <is>
          <t>Unknown</t>
        </is>
      </c>
      <c r="E21" s="7" t="inlineStr">
        <is>
          <t>Guess</t>
        </is>
      </c>
      <c r="F21" s="2" t="n">
        <v>1</v>
      </c>
      <c r="G21" s="4" t="n">
        <v>150</v>
      </c>
      <c r="H21" s="4" t="n">
        <v>400</v>
      </c>
      <c r="I21" s="4">
        <f>AVERAGE(G21,H21)</f>
        <v/>
      </c>
      <c r="J21" s="4">
        <f>F21*G21</f>
        <v/>
      </c>
      <c r="K21" s="4">
        <f>F21*I21</f>
        <v/>
      </c>
      <c r="L21" s="4">
        <f>F21*H21</f>
        <v/>
      </c>
      <c r="M21" s="2" t="inlineStr">
        <is>
          <t>Estimate</t>
        </is>
      </c>
      <c r="N21" s="2" t="inlineStr">
        <is>
          <t>S061</t>
        </is>
      </c>
      <c r="O21" s="2" t="inlineStr"/>
    </row>
    <row r="22">
      <c r="A22" s="2" t="n">
        <v>21</v>
      </c>
      <c r="B22" s="2" t="inlineStr">
        <is>
          <t>Compute &amp; comms</t>
        </is>
      </c>
      <c r="C22" s="2" t="inlineStr">
        <is>
          <t>Industrial PC, AMD Ryzen Embedded 8845HS (32 GB, SSD)</t>
        </is>
      </c>
      <c r="D22" s="2" t="inlineStr">
        <is>
          <t>Unknown vendor</t>
        </is>
      </c>
      <c r="E22" s="8" t="inlineStr">
        <is>
          <t>Named CPU</t>
        </is>
      </c>
      <c r="F22" s="2" t="n">
        <v>1</v>
      </c>
      <c r="G22" s="4" t="n">
        <v>700</v>
      </c>
      <c r="H22" s="4" t="n">
        <v>1500</v>
      </c>
      <c r="I22" s="4">
        <f>AVERAGE(G22,H22)</f>
        <v/>
      </c>
      <c r="J22" s="4">
        <f>F22*G22</f>
        <v/>
      </c>
      <c r="K22" s="4">
        <f>F22*I22</f>
        <v/>
      </c>
      <c r="L22" s="4">
        <f>F22*H22</f>
        <v/>
      </c>
      <c r="M22" s="2" t="inlineStr">
        <is>
          <t>Estimate (industrial mini-PC range)</t>
        </is>
      </c>
      <c r="N22" s="2" t="inlineStr">
        <is>
          <t>S061</t>
        </is>
      </c>
      <c r="O22" s="2" t="inlineStr"/>
    </row>
    <row r="23">
      <c r="A23" s="2" t="n">
        <v>22</v>
      </c>
      <c r="B23" s="2" t="inlineStr">
        <is>
          <t>Compute &amp; comms</t>
        </is>
      </c>
      <c r="C23" s="2" t="inlineStr">
        <is>
          <t>GPU</t>
        </is>
      </c>
      <c r="D23" s="2" t="inlineStr">
        <is>
          <t>NVIDIA RTX A400</t>
        </is>
      </c>
      <c r="E23" s="8" t="inlineStr">
        <is>
          <t>Named</t>
        </is>
      </c>
      <c r="F23" s="2" t="n">
        <v>1</v>
      </c>
      <c r="G23" s="4" t="n">
        <v>180</v>
      </c>
      <c r="H23" s="4" t="n">
        <v>250</v>
      </c>
      <c r="I23" s="4">
        <f>AVERAGE(G23,H23)</f>
        <v/>
      </c>
      <c r="J23" s="4">
        <f>F23*G23</f>
        <v/>
      </c>
      <c r="K23" s="4">
        <f>F23*I23</f>
        <v/>
      </c>
      <c r="L23" s="4">
        <f>F23*H23</f>
        <v/>
      </c>
      <c r="M23" s="2" t="inlineStr">
        <is>
          <t>Retail (general knowledge)</t>
        </is>
      </c>
      <c r="N23" s="2" t="inlineStr">
        <is>
          <t>S061</t>
        </is>
      </c>
      <c r="O23" s="2" t="inlineStr">
        <is>
          <t>Brochure says "Quadro RTX A400"</t>
        </is>
      </c>
    </row>
    <row r="24">
      <c r="A24" s="2" t="n">
        <v>23</v>
      </c>
      <c r="B24" s="2" t="inlineStr">
        <is>
          <t>Compute &amp; comms</t>
        </is>
      </c>
      <c r="C24" s="2" t="inlineStr">
        <is>
          <t>PoE / Ethernet switch</t>
        </is>
      </c>
      <c r="D24" s="2" t="inlineStr">
        <is>
          <t>Unknown</t>
        </is>
      </c>
      <c r="E24" s="5" t="inlineStr">
        <is>
          <t>Inferred</t>
        </is>
      </c>
      <c r="F24" s="2" t="n">
        <v>1</v>
      </c>
      <c r="G24" s="4" t="n">
        <v>100</v>
      </c>
      <c r="H24" s="4" t="n">
        <v>300</v>
      </c>
      <c r="I24" s="4">
        <f>AVERAGE(G24,H24)</f>
        <v/>
      </c>
      <c r="J24" s="4">
        <f>F24*G24</f>
        <v/>
      </c>
      <c r="K24" s="4">
        <f>F24*I24</f>
        <v/>
      </c>
      <c r="L24" s="4">
        <f>F24*H24</f>
        <v/>
      </c>
      <c r="M24" s="2" t="inlineStr">
        <is>
          <t>Estimate</t>
        </is>
      </c>
      <c r="N24" s="2" t="inlineStr">
        <is>
          <t>S071</t>
        </is>
      </c>
      <c r="O24" s="2" t="inlineStr">
        <is>
          <t>OAK-D PoE, 335Le and Mid-360 are all Ethernet</t>
        </is>
      </c>
    </row>
    <row r="25">
      <c r="A25" s="2" t="n">
        <v>24</v>
      </c>
      <c r="B25" s="2" t="inlineStr">
        <is>
          <t>Compute &amp; comms</t>
        </is>
      </c>
      <c r="C25" s="2" t="inlineStr">
        <is>
          <t>4G LTE Cat 4 router + Wi-Fi + antennas (GPS optional)</t>
        </is>
      </c>
      <c r="D25" s="2" t="inlineStr">
        <is>
          <t>Unknown</t>
        </is>
      </c>
      <c r="E25" s="8" t="inlineStr">
        <is>
          <t>Spec named</t>
        </is>
      </c>
      <c r="F25" s="2" t="n">
        <v>1</v>
      </c>
      <c r="G25" s="4" t="n">
        <v>150</v>
      </c>
      <c r="H25" s="4" t="n">
        <v>400</v>
      </c>
      <c r="I25" s="4">
        <f>AVERAGE(G25,H25)</f>
        <v/>
      </c>
      <c r="J25" s="4">
        <f>F25*G25</f>
        <v/>
      </c>
      <c r="K25" s="4">
        <f>F25*I25</f>
        <v/>
      </c>
      <c r="L25" s="4">
        <f>F25*H25</f>
        <v/>
      </c>
      <c r="M25" s="2" t="inlineStr">
        <is>
          <t>Estimate</t>
        </is>
      </c>
      <c r="N25" s="2" t="inlineStr">
        <is>
          <t>S061</t>
        </is>
      </c>
      <c r="O25" s="2" t="inlineStr"/>
    </row>
    <row r="26">
      <c r="A26" s="2" t="n">
        <v>25</v>
      </c>
      <c r="B26" s="2" t="inlineStr">
        <is>
          <t>Compute &amp; comms</t>
        </is>
      </c>
      <c r="C26" s="2" t="inlineStr">
        <is>
          <t>Touchscreen HMI (~10")</t>
        </is>
      </c>
      <c r="D26" s="2" t="inlineStr">
        <is>
          <t>Unknown</t>
        </is>
      </c>
      <c r="E26" s="8" t="inlineStr">
        <is>
          <t>Spec named</t>
        </is>
      </c>
      <c r="F26" s="2" t="n">
        <v>1</v>
      </c>
      <c r="G26" s="4" t="n">
        <v>150</v>
      </c>
      <c r="H26" s="4" t="n">
        <v>400</v>
      </c>
      <c r="I26" s="4">
        <f>AVERAGE(G26,H26)</f>
        <v/>
      </c>
      <c r="J26" s="4">
        <f>F26*G26</f>
        <v/>
      </c>
      <c r="K26" s="4">
        <f>F26*I26</f>
        <v/>
      </c>
      <c r="L26" s="4">
        <f>F26*H26</f>
        <v/>
      </c>
      <c r="M26" s="2" t="inlineStr">
        <is>
          <t>Estimate</t>
        </is>
      </c>
      <c r="N26" s="2" t="inlineStr">
        <is>
          <t>S061</t>
        </is>
      </c>
      <c r="O26" s="2" t="inlineStr"/>
    </row>
    <row r="27">
      <c r="A27" s="2" t="n">
        <v>26</v>
      </c>
      <c r="B27" s="2" t="inlineStr">
        <is>
          <t>Power</t>
        </is>
      </c>
      <c r="C27" s="2" t="inlineStr">
        <is>
          <t>Battery 7,560 Wh / 50.4 V Li-ion, swappable modules, BMS</t>
        </is>
      </c>
      <c r="D27" s="2" t="inlineStr">
        <is>
          <t>Unknown (custom pack)</t>
        </is>
      </c>
      <c r="E27" s="8" t="inlineStr">
        <is>
          <t>Spec named</t>
        </is>
      </c>
      <c r="F27" s="2" t="n">
        <v>1</v>
      </c>
      <c r="G27" s="4" t="n">
        <v>2300</v>
      </c>
      <c r="H27" s="4" t="n">
        <v>4500</v>
      </c>
      <c r="I27" s="4">
        <f>AVERAGE(G27,H27)</f>
        <v/>
      </c>
      <c r="J27" s="4">
        <f>F27*G27</f>
        <v/>
      </c>
      <c r="K27" s="4">
        <f>F27*I27</f>
        <v/>
      </c>
      <c r="L27" s="4">
        <f>F27*H27</f>
        <v/>
      </c>
      <c r="M27" s="2" t="inlineStr">
        <is>
          <t>Estimate: ~$300–600/kWh, low-volume custom pack</t>
        </is>
      </c>
      <c r="N27" s="2" t="inlineStr">
        <is>
          <t>S061</t>
        </is>
      </c>
      <c r="O27" s="2" t="inlineStr">
        <is>
          <t>12S pack, ~150 Ah; 3 drawers in photo</t>
        </is>
      </c>
    </row>
    <row r="28">
      <c r="A28" s="2" t="n">
        <v>27</v>
      </c>
      <c r="B28" s="2" t="inlineStr">
        <is>
          <t>Power</t>
        </is>
      </c>
      <c r="C28" s="2" t="inlineStr">
        <is>
          <t>Charger (~3 kW, 2.5 h full)</t>
        </is>
      </c>
      <c r="D28" s="2" t="inlineStr">
        <is>
          <t>Unknown</t>
        </is>
      </c>
      <c r="E28" s="7" t="inlineStr">
        <is>
          <t>Guess</t>
        </is>
      </c>
      <c r="F28" s="2" t="n">
        <v>1</v>
      </c>
      <c r="G28" s="4" t="n">
        <v>400</v>
      </c>
      <c r="H28" s="4" t="n">
        <v>1000</v>
      </c>
      <c r="I28" s="4">
        <f>AVERAGE(G28,H28)</f>
        <v/>
      </c>
      <c r="J28" s="4">
        <f>F28*G28</f>
        <v/>
      </c>
      <c r="K28" s="4">
        <f>F28*I28</f>
        <v/>
      </c>
      <c r="L28" s="4">
        <f>F28*H28</f>
        <v/>
      </c>
      <c r="M28" s="2" t="inlineStr">
        <is>
          <t>Estimate</t>
        </is>
      </c>
      <c r="N28" s="2" t="inlineStr">
        <is>
          <t>S061</t>
        </is>
      </c>
      <c r="O28" s="2" t="inlineStr"/>
    </row>
    <row r="29">
      <c r="A29" s="2" t="n">
        <v>28</v>
      </c>
      <c r="B29" s="2" t="inlineStr">
        <is>
          <t>Power</t>
        </is>
      </c>
      <c r="C29" s="2" t="inlineStr">
        <is>
          <t>DC-DC converters, power distribution, contactors, fuses, wiring harness</t>
        </is>
      </c>
      <c r="D29" s="2" t="inlineStr">
        <is>
          <t>Unknown</t>
        </is>
      </c>
      <c r="E29" s="7" t="inlineStr">
        <is>
          <t>Guess</t>
        </is>
      </c>
      <c r="F29" s="2" t="n">
        <v>1</v>
      </c>
      <c r="G29" s="4" t="n">
        <v>400</v>
      </c>
      <c r="H29" s="4" t="n">
        <v>1000</v>
      </c>
      <c r="I29" s="4">
        <f>AVERAGE(G29,H29)</f>
        <v/>
      </c>
      <c r="J29" s="4">
        <f>F29*G29</f>
        <v/>
      </c>
      <c r="K29" s="4">
        <f>F29*I29</f>
        <v/>
      </c>
      <c r="L29" s="4">
        <f>F29*H29</f>
        <v/>
      </c>
      <c r="M29" s="2" t="inlineStr">
        <is>
          <t>Estimate</t>
        </is>
      </c>
      <c r="N29" s="2" t="inlineStr"/>
      <c r="O29" s="2" t="inlineStr"/>
    </row>
    <row r="30">
      <c r="A30" s="2" t="n">
        <v>29</v>
      </c>
      <c r="B30" s="2" t="inlineStr">
        <is>
          <t>Body</t>
        </is>
      </c>
      <c r="C30" s="2" t="inlineStr">
        <is>
          <t>Enclosure panels, handles, top tool rack structure</t>
        </is>
      </c>
      <c r="D30" s="2" t="inlineStr">
        <is>
          <t>Custom</t>
        </is>
      </c>
      <c r="E30" s="7" t="inlineStr">
        <is>
          <t>Guess</t>
        </is>
      </c>
      <c r="F30" s="2" t="n">
        <v>1</v>
      </c>
      <c r="G30" s="4" t="n">
        <v>1500</v>
      </c>
      <c r="H30" s="4" t="n">
        <v>4000</v>
      </c>
      <c r="I30" s="4">
        <f>AVERAGE(G30,H30)</f>
        <v/>
      </c>
      <c r="J30" s="4">
        <f>F30*G30</f>
        <v/>
      </c>
      <c r="K30" s="4">
        <f>F30*I30</f>
        <v/>
      </c>
      <c r="L30" s="4">
        <f>F30*H30</f>
        <v/>
      </c>
      <c r="M30" s="2" t="inlineStr">
        <is>
          <t>Estimate (low-volume sheet metal / plastics)</t>
        </is>
      </c>
      <c r="N30" s="2" t="inlineStr">
        <is>
          <t>S075</t>
        </is>
      </c>
      <c r="O30" s="2" t="inlineStr">
        <is>
          <t>Black box body, 75 × 46 × 150 cm</t>
        </is>
      </c>
    </row>
    <row r="31">
      <c r="A31" s="2" t="n">
        <v>30</v>
      </c>
      <c r="B31" s="2" t="inlineStr">
        <is>
          <t>Body</t>
        </is>
      </c>
      <c r="C31" s="2" t="inlineStr">
        <is>
          <t>Fasteners, cable chains, misc</t>
        </is>
      </c>
      <c r="D31" s="2" t="inlineStr">
        <is>
          <t>—</t>
        </is>
      </c>
      <c r="E31" s="7" t="inlineStr">
        <is>
          <t>Guess</t>
        </is>
      </c>
      <c r="F31" s="2" t="n">
        <v>1</v>
      </c>
      <c r="G31" s="4" t="n">
        <v>200</v>
      </c>
      <c r="H31" s="4" t="n">
        <v>500</v>
      </c>
      <c r="I31" s="4">
        <f>AVERAGE(G31,H31)</f>
        <v/>
      </c>
      <c r="J31" s="4">
        <f>F31*G31</f>
        <v/>
      </c>
      <c r="K31" s="4">
        <f>F31*I31</f>
        <v/>
      </c>
      <c r="L31" s="4">
        <f>F31*H31</f>
        <v/>
      </c>
      <c r="M31" s="2" t="inlineStr">
        <is>
          <t>Estimate</t>
        </is>
      </c>
      <c r="N31" s="2" t="inlineStr"/>
      <c r="O31" s="2" t="inlineStr"/>
    </row>
    <row r="32">
      <c r="A32" s="2" t="n">
        <v>31</v>
      </c>
      <c r="B32" s="2" t="inlineStr">
        <is>
          <t>Build &amp; logistics</t>
        </is>
      </c>
      <c r="C32" s="2" t="inlineStr">
        <is>
          <t>Assembly, wiring, calibration, burn-in (~30–50 h)</t>
        </is>
      </c>
      <c r="D32" s="2" t="inlineStr">
        <is>
          <t>In-house (Singapore)</t>
        </is>
      </c>
      <c r="E32" s="7" t="inlineStr">
        <is>
          <t>Guess</t>
        </is>
      </c>
      <c r="F32" s="2" t="n">
        <v>1</v>
      </c>
      <c r="G32" s="4" t="n">
        <v>1500</v>
      </c>
      <c r="H32" s="4" t="n">
        <v>2500</v>
      </c>
      <c r="I32" s="4">
        <f>AVERAGE(G32,H32)</f>
        <v/>
      </c>
      <c r="J32" s="4">
        <f>F32*G32</f>
        <v/>
      </c>
      <c r="K32" s="4">
        <f>F32*I32</f>
        <v/>
      </c>
      <c r="L32" s="4">
        <f>F32*H32</f>
        <v/>
      </c>
      <c r="M32" s="2" t="inlineStr">
        <is>
          <t>Estimate @ ~US$50/h</t>
        </is>
      </c>
      <c r="N32" s="2" t="inlineStr"/>
      <c r="O32" s="2" t="inlineStr"/>
    </row>
    <row r="33">
      <c r="A33" s="2" t="n">
        <v>32</v>
      </c>
      <c r="B33" s="2" t="inlineStr">
        <is>
          <t>Build &amp; logistics</t>
        </is>
      </c>
      <c r="C33" s="2" t="inlineStr">
        <is>
          <t>Inbound freight, import duties, packaging</t>
        </is>
      </c>
      <c r="D33" s="2" t="inlineStr">
        <is>
          <t>—</t>
        </is>
      </c>
      <c r="E33" s="7" t="inlineStr">
        <is>
          <t>Guess</t>
        </is>
      </c>
      <c r="F33" s="2" t="n">
        <v>1</v>
      </c>
      <c r="G33" s="4" t="n">
        <v>1000</v>
      </c>
      <c r="H33" s="4" t="n">
        <v>2500</v>
      </c>
      <c r="I33" s="4">
        <f>AVERAGE(G33,H33)</f>
        <v/>
      </c>
      <c r="J33" s="4">
        <f>F33*G33</f>
        <v/>
      </c>
      <c r="K33" s="4">
        <f>F33*I33</f>
        <v/>
      </c>
      <c r="L33" s="4">
        <f>F33*H33</f>
        <v/>
      </c>
      <c r="M33" s="2" t="inlineStr">
        <is>
          <t>Estimate</t>
        </is>
      </c>
      <c r="N33" s="2" t="inlineStr"/>
      <c r="O33" s="2" t="inlineStr">
        <is>
          <t>Most major parts ship from China / Germany</t>
        </is>
      </c>
    </row>
    <row r="34">
      <c r="A34" s="9" t="n"/>
      <c r="B34" s="9" t="n"/>
      <c r="C34" s="10" t="inlineStr">
        <is>
          <t>Subtotal: hardware + build</t>
        </is>
      </c>
      <c r="D34" s="9" t="n"/>
      <c r="E34" s="9" t="n"/>
      <c r="F34" s="9" t="n"/>
      <c r="G34" s="9" t="n"/>
      <c r="H34" s="9" t="n"/>
      <c r="I34" s="9" t="n"/>
      <c r="J34" s="11">
        <f>SUM(J2:J33)</f>
        <v/>
      </c>
      <c r="K34" s="11">
        <f>SUM(K2:K33)</f>
        <v/>
      </c>
      <c r="L34" s="11">
        <f>SUM(L2:L33)</f>
        <v/>
      </c>
      <c r="M34" s="9" t="n"/>
      <c r="N34" s="9" t="n"/>
      <c r="O34" s="9" t="n"/>
    </row>
    <row r="35">
      <c r="A35" s="9" t="n"/>
      <c r="B35" s="9" t="n"/>
      <c r="C35" s="10" t="inlineStr">
        <is>
          <t>Warranty reserve (10%, as in Hivebotics' own model)</t>
        </is>
      </c>
      <c r="D35" s="9" t="n"/>
      <c r="E35" s="9" t="n"/>
      <c r="F35" s="9" t="n"/>
      <c r="G35" s="9" t="n"/>
      <c r="H35" s="9" t="n"/>
      <c r="I35" s="9" t="n"/>
      <c r="J35" s="11">
        <f>J34*0.1</f>
        <v/>
      </c>
      <c r="K35" s="11">
        <f>K34*0.1</f>
        <v/>
      </c>
      <c r="L35" s="11">
        <f>L34*0.1</f>
        <v/>
      </c>
      <c r="M35" s="9" t="n"/>
      <c r="N35" s="9" t="n"/>
      <c r="O35" s="9" t="n"/>
    </row>
    <row r="36">
      <c r="A36" s="12" t="n"/>
      <c r="B36" s="12" t="n"/>
      <c r="C36" s="13" t="inlineStr">
        <is>
          <t>ESTIMATED UNIT COST (COGS, incl. warranty)</t>
        </is>
      </c>
      <c r="D36" s="12" t="n"/>
      <c r="E36" s="12" t="n"/>
      <c r="F36" s="12" t="n"/>
      <c r="G36" s="12" t="n"/>
      <c r="H36" s="12" t="n"/>
      <c r="I36" s="12" t="n"/>
      <c r="J36" s="14">
        <f>J34+J35</f>
        <v/>
      </c>
      <c r="K36" s="14">
        <f>K34+K35</f>
        <v/>
      </c>
      <c r="L36" s="14">
        <f>L34+L35</f>
        <v/>
      </c>
      <c r="M36" s="12" t="n"/>
      <c r="N36" s="12" t="n"/>
      <c r="O36" s="12" t="n"/>
    </row>
    <row r="37">
      <c r="B37" s="15" t="inlineStr">
        <is>
          <t>Not included in unit cost (sold as an option):</t>
        </is>
      </c>
    </row>
    <row r="38">
      <c r="A38" s="2" t="n"/>
      <c r="B38" s="2" t="n"/>
      <c r="C38" s="2" t="n"/>
      <c r="D38" s="2" t="n"/>
      <c r="E38" s="8" t="n"/>
      <c r="F38" s="2" t="n"/>
      <c r="G38" s="4" t="n"/>
      <c r="H38" s="4" t="n"/>
      <c r="I38" s="4">
        <f>AVERAGE(G38,H38)</f>
        <v/>
      </c>
      <c r="J38" s="4">
        <f>F38*G38</f>
        <v/>
      </c>
      <c r="K38" s="4">
        <f>F38*I38</f>
        <v/>
      </c>
      <c r="L38" s="4">
        <f>F38*H38</f>
        <v/>
      </c>
      <c r="M38" s="2" t="n"/>
      <c r="N38" s="2" t="n"/>
      <c r="O38" s="2" t="n"/>
    </row>
    <row r="39">
      <c r="A39" t="n">
        <v>33</v>
      </c>
      <c r="B39" t="inlineStr">
        <is>
          <t>Optional</t>
        </is>
      </c>
      <c r="C39" t="inlineStr">
        <is>
          <t>Docking station (recharge, water refill, chemical top-up)</t>
        </is>
      </c>
      <c r="D39" t="inlineStr">
        <is>
          <t>Unknown</t>
        </is>
      </c>
      <c r="E39" t="inlineStr">
        <is>
          <t>Named (optional)</t>
        </is>
      </c>
      <c r="F39" t="n">
        <v>1</v>
      </c>
      <c r="G39" t="n">
        <v>2000</v>
      </c>
      <c r="H39" t="n">
        <v>5000</v>
      </c>
      <c r="M39" t="inlineStr">
        <is>
          <t>Estimate</t>
        </is>
      </c>
      <c r="N39" t="inlineStr">
        <is>
          <t>S061</t>
        </is>
      </c>
      <c r="O39" t="inlineStr">
        <is>
          <t>Not in the robot price per brochure: "optional"</t>
        </is>
      </c>
    </row>
    <row r="40">
      <c r="B40" s="16" t="inlineStr">
        <is>
          <t>Cost by subsystem</t>
        </is>
      </c>
    </row>
    <row r="41">
      <c r="B41" s="17" t="inlineStr">
        <is>
          <t>Subsystem</t>
        </is>
      </c>
      <c r="J41" s="17" t="inlineStr">
        <is>
          <t>Ext. low</t>
        </is>
      </c>
      <c r="K41" s="17" t="inlineStr">
        <is>
          <t>Ext. mid</t>
        </is>
      </c>
      <c r="L41" s="17" t="inlineStr">
        <is>
          <t>Ext. high</t>
        </is>
      </c>
      <c r="M41" s="17" t="inlineStr">
        <is>
          <t>% of hardware subtotal (mid)</t>
        </is>
      </c>
    </row>
    <row r="42">
      <c r="B42" s="18" t="inlineStr">
        <is>
          <t>Manipulation</t>
        </is>
      </c>
      <c r="J42" s="19">
        <f>SUMIF($B$2:$B$33,$B42,J$2:J$33)</f>
        <v/>
      </c>
      <c r="K42" s="19">
        <f>SUMIF($B$2:$B$33,$B42,K$2:K$33)</f>
        <v/>
      </c>
      <c r="L42" s="19">
        <f>SUMIF($B$2:$B$33,$B42,L$2:L$33)</f>
        <v/>
      </c>
      <c r="M42" s="20">
        <f>K42/K$34</f>
        <v/>
      </c>
    </row>
    <row r="43">
      <c r="B43" s="18" t="inlineStr">
        <is>
          <t>Cleaning system</t>
        </is>
      </c>
      <c r="J43" s="19">
        <f>SUMIF($B$2:$B$33,$B43,J$2:J$33)</f>
        <v/>
      </c>
      <c r="K43" s="19">
        <f>SUMIF($B$2:$B$33,$B43,K$2:K$33)</f>
        <v/>
      </c>
      <c r="L43" s="19">
        <f>SUMIF($B$2:$B$33,$B43,L$2:L$33)</f>
        <v/>
      </c>
      <c r="M43" s="20">
        <f>K43/K$34</f>
        <v/>
      </c>
    </row>
    <row r="44">
      <c r="B44" s="18" t="inlineStr">
        <is>
          <t>Mobile base</t>
        </is>
      </c>
      <c r="J44" s="19">
        <f>SUMIF($B$2:$B$33,$B44,J$2:J$33)</f>
        <v/>
      </c>
      <c r="K44" s="19">
        <f>SUMIF($B$2:$B$33,$B44,K$2:K$33)</f>
        <v/>
      </c>
      <c r="L44" s="19">
        <f>SUMIF($B$2:$B$33,$B44,L$2:L$33)</f>
        <v/>
      </c>
      <c r="M44" s="20">
        <f>K44/K$34</f>
        <v/>
      </c>
    </row>
    <row r="45">
      <c r="B45" s="18" t="inlineStr">
        <is>
          <t>Sensing</t>
        </is>
      </c>
      <c r="J45" s="19">
        <f>SUMIF($B$2:$B$33,$B45,J$2:J$33)</f>
        <v/>
      </c>
      <c r="K45" s="19">
        <f>SUMIF($B$2:$B$33,$B45,K$2:K$33)</f>
        <v/>
      </c>
      <c r="L45" s="19">
        <f>SUMIF($B$2:$B$33,$B45,L$2:L$33)</f>
        <v/>
      </c>
      <c r="M45" s="20">
        <f>K45/K$34</f>
        <v/>
      </c>
    </row>
    <row r="46">
      <c r="B46" s="18" t="inlineStr">
        <is>
          <t>Compute &amp; comms</t>
        </is>
      </c>
      <c r="J46" s="19">
        <f>SUMIF($B$2:$B$33,$B46,J$2:J$33)</f>
        <v/>
      </c>
      <c r="K46" s="19">
        <f>SUMIF($B$2:$B$33,$B46,K$2:K$33)</f>
        <v/>
      </c>
      <c r="L46" s="19">
        <f>SUMIF($B$2:$B$33,$B46,L$2:L$33)</f>
        <v/>
      </c>
      <c r="M46" s="20">
        <f>K46/K$34</f>
        <v/>
      </c>
    </row>
    <row r="47">
      <c r="B47" s="18" t="inlineStr">
        <is>
          <t>Power</t>
        </is>
      </c>
      <c r="J47" s="19">
        <f>SUMIF($B$2:$B$33,$B47,J$2:J$33)</f>
        <v/>
      </c>
      <c r="K47" s="19">
        <f>SUMIF($B$2:$B$33,$B47,K$2:K$33)</f>
        <v/>
      </c>
      <c r="L47" s="19">
        <f>SUMIF($B$2:$B$33,$B47,L$2:L$33)</f>
        <v/>
      </c>
      <c r="M47" s="20">
        <f>K47/K$34</f>
        <v/>
      </c>
    </row>
    <row r="48">
      <c r="B48" s="18" t="inlineStr">
        <is>
          <t>Body</t>
        </is>
      </c>
      <c r="J48" s="19">
        <f>SUMIF($B$2:$B$33,$B48,J$2:J$33)</f>
        <v/>
      </c>
      <c r="K48" s="19">
        <f>SUMIF($B$2:$B$33,$B48,K$2:K$33)</f>
        <v/>
      </c>
      <c r="L48" s="19">
        <f>SUMIF($B$2:$B$33,$B48,L$2:L$33)</f>
        <v/>
      </c>
      <c r="M48" s="20">
        <f>K48/K$34</f>
        <v/>
      </c>
    </row>
    <row r="49">
      <c r="B49" s="18" t="inlineStr">
        <is>
          <t>Build &amp; logistics</t>
        </is>
      </c>
      <c r="J49" s="19">
        <f>SUMIF($B$2:$B$33,$B49,J$2:J$33)</f>
        <v/>
      </c>
      <c r="K49" s="19">
        <f>SUMIF($B$2:$B$33,$B49,K$2:K$33)</f>
        <v/>
      </c>
      <c r="L49" s="19">
        <f>SUMIF($B$2:$B$33,$B49,L$2:L$33)</f>
        <v/>
      </c>
      <c r="M49" s="20">
        <f>K49/K$34</f>
        <v/>
      </c>
    </row>
  </sheetData>
  <autoFilter ref="A1:O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1" t="inlineStr">
        <is>
          <t>Hivebotics Abluo Mark 2: estimated bill of materials (BOM)</t>
        </is>
      </c>
    </row>
    <row r="2">
      <c r="A2" s="22" t="inlineStr">
        <is>
          <t>Ubanthu Robotics competitor intelligence · built 2026-10-20 · all prices USD · analysis tag [INF]</t>
        </is>
      </c>
    </row>
    <row r="3">
      <c r="A3" s="22" t="inlineStr"/>
    </row>
    <row r="4">
      <c r="A4" s="23" t="inlineStr">
        <is>
          <t>What this is</t>
        </is>
      </c>
    </row>
    <row r="5">
      <c r="A5" s="22" t="inlineStr">
        <is>
          <t>A bottom-up cost estimate of one Abluo Mark 2 robot, built from the hardware we identified (brochure S061, GitHub S071, Series A deck S075) and public list prices (S104).</t>
        </is>
      </c>
    </row>
    <row r="6">
      <c r="A6" s="22" t="inlineStr">
        <is>
          <t>Each line has a LOW and HIGH unit price; the MID is the average. Totals and the reconciliation sheet are live formulas: change a price and everything updates.</t>
        </is>
      </c>
    </row>
    <row r="7">
      <c r="A7" s="22" t="inlineStr"/>
    </row>
    <row r="8">
      <c r="A8" s="23" t="inlineStr">
        <is>
          <t>How sure are we?</t>
        </is>
      </c>
    </row>
    <row r="9">
      <c r="A9" s="22" t="inlineStr">
        <is>
          <t>Component identity: see the "ID confidence" column (green = confirmed/high, blue = named in their material, yellow = inferred, orange = pure guess).</t>
        </is>
      </c>
    </row>
    <row r="10">
      <c r="A10" s="22" t="inlineStr">
        <is>
          <t>Prices: list/retail prices for named parts (web-checked 2026-10-20); everything else is an engineering estimate. Hivebotics will pay less than list (volume, OEM, Kärcher MOU).</t>
        </is>
      </c>
    </row>
    <row r="11">
      <c r="A11" s="22" t="inlineStr"/>
    </row>
    <row r="12">
      <c r="A12" s="23" t="inlineStr">
        <is>
          <t>Anchor: Hivebotics' own numbers</t>
        </is>
      </c>
    </row>
    <row r="13">
      <c r="A13" s="22" t="inlineStr">
        <is>
          <t>Their financial model (S076, Jul 2024) puts unit cost at US$53,746 incl. 10% warranty (yr 1) falling to US$24,398 (yr 5). Robot price ~US$50–65k; RaaS ~US$2k/month.</t>
        </is>
      </c>
    </row>
    <row r="14">
      <c r="A14" s="22" t="inlineStr">
        <is>
          <t>Our bottom-up MID estimate lands close to their yr-1 figure (see "Reconciliation"), which suggests the component list is roughly complete.</t>
        </is>
      </c>
    </row>
    <row r="15">
      <c r="A15" s="22" t="inlineStr"/>
    </row>
    <row r="16">
      <c r="A16" s="23" t="inlineStr">
        <is>
          <t>Caveats</t>
        </is>
      </c>
    </row>
    <row r="17">
      <c r="A17" s="22" t="inlineStr">
        <is>
          <t>Their 2024 model predates Mark 2 (brochure Mar 2026). Not every listed part is necessarily on every robot (e.g. OAK-D vs Orbbec 335Le may be alternatives).</t>
        </is>
      </c>
    </row>
    <row r="18">
      <c r="A18" s="22" t="inlineStr">
        <is>
          <t>Excludes R&amp;D, certification (~US$1M per round in their model), software development and margin. Recurring per-robot costs are on a separate sheet.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62" customWidth="1" min="1" max="1"/>
    <col width="16" customWidth="1" min="2" max="2"/>
    <col width="16" customWidth="1" min="3" max="3"/>
    <col width="16" customWidth="1" min="4" max="4"/>
    <col width="60" customWidth="1" min="5" max="5"/>
  </cols>
  <sheetData>
    <row r="1">
      <c r="A1" s="24" t="inlineStr">
        <is>
          <t>Our estimate vs Hivebotics' own figures</t>
        </is>
      </c>
      <c r="B1" s="22" t="n"/>
      <c r="C1" s="22" t="n"/>
      <c r="D1" s="22" t="n"/>
      <c r="E1" s="22" t="n"/>
    </row>
    <row r="2">
      <c r="A2" s="25" t="inlineStr"/>
      <c r="B2" s="25" t="inlineStr">
        <is>
          <t>Low</t>
        </is>
      </c>
      <c r="C2" s="25" t="inlineStr">
        <is>
          <t>Mid</t>
        </is>
      </c>
      <c r="D2" s="25" t="inlineStr">
        <is>
          <t>High</t>
        </is>
      </c>
      <c r="E2" s="25" t="inlineStr">
        <is>
          <t>Note</t>
        </is>
      </c>
    </row>
    <row r="3">
      <c r="A3" s="26" t="inlineStr">
        <is>
          <t>Our bottom-up unit cost (incl. 10% warranty)</t>
        </is>
      </c>
      <c r="B3" s="27">
        <f>BOM!J36</f>
        <v/>
      </c>
      <c r="C3" s="27">
        <f>BOM!K36</f>
        <v/>
      </c>
      <c r="D3" s="27">
        <f>BOM!L36</f>
        <v/>
      </c>
      <c r="E3" s="26" t="inlineStr">
        <is>
          <t>From BOM sheet</t>
        </is>
      </c>
    </row>
    <row r="4">
      <c r="A4" s="26" t="inlineStr">
        <is>
          <t>Hivebotics model: unit cost yr 1 (incl. 10% warranty)</t>
        </is>
      </c>
      <c r="B4" s="27" t="n">
        <v>53746</v>
      </c>
      <c r="C4" s="27" t="n">
        <v>53746</v>
      </c>
      <c r="D4" s="27" t="n">
        <v>53746</v>
      </c>
      <c r="E4" s="26" t="inlineStr">
        <is>
          <t>S076, model dated 30 Jul 2024 (pre-Mark 2)</t>
        </is>
      </c>
    </row>
    <row r="5">
      <c r="A5" s="22" t="inlineStr">
        <is>
          <t>Hivebotics model: unit cost yr 5 target</t>
        </is>
      </c>
      <c r="B5" s="28" t="n">
        <v>24398</v>
      </c>
      <c r="C5" s="28" t="n">
        <v>24398</v>
      </c>
      <c r="D5" s="28" t="n">
        <v>24398</v>
      </c>
      <c r="E5" s="22" t="inlineStr">
        <is>
          <t>S076: needs volume pricing + design cost-down</t>
        </is>
      </c>
    </row>
    <row r="6">
      <c r="A6" s="22" t="inlineStr">
        <is>
          <t>Hivebotics model: internal prototype cost</t>
        </is>
      </c>
      <c r="B6" s="28" t="n">
        <v>50000</v>
      </c>
      <c r="C6" s="28" t="n">
        <v>50000</v>
      </c>
      <c r="D6" s="28" t="n">
        <v>50000</v>
      </c>
      <c r="E6" s="22" t="inlineStr">
        <is>
          <t>S076: "@ $50K p.u."</t>
        </is>
      </c>
    </row>
    <row r="7">
      <c r="A7" s="22" t="inlineStr">
        <is>
          <t>Gap: ours minus their yr-1 cost</t>
        </is>
      </c>
      <c r="B7" s="28">
        <f>B3-B4</f>
        <v/>
      </c>
      <c r="C7" s="28">
        <f>C3-C4</f>
        <v/>
      </c>
      <c r="D7" s="28">
        <f>D3-D4</f>
        <v/>
      </c>
      <c r="E7" s="22" t="inlineStr">
        <is>
          <t>Negative = we estimate cheaper than their own model</t>
        </is>
      </c>
    </row>
    <row r="8">
      <c r="A8" s="22" t="inlineStr"/>
      <c r="B8" s="22" t="n"/>
      <c r="C8" s="22" t="n"/>
      <c r="D8" s="22" t="n"/>
      <c r="E8" s="22" t="n"/>
    </row>
    <row r="9">
      <c r="A9" s="22" t="inlineStr">
        <is>
          <t>Selling price (assumed)</t>
        </is>
      </c>
      <c r="B9" s="28" t="n">
        <v>55000</v>
      </c>
      <c r="C9" s="28" t="n">
        <v>55000</v>
      </c>
      <c r="D9" s="28" t="n">
        <v>55000</v>
      </c>
      <c r="E9" s="22" t="inlineStr">
        <is>
          <t>S075/S076: ~US$50k (deck) · US$65k yr 1 → 55k yr 5 (model) · ROI sheet "price + AMC" US$55k</t>
        </is>
      </c>
    </row>
    <row r="10">
      <c r="A10" s="22" t="inlineStr">
        <is>
          <t>Gross margin on our estimate</t>
        </is>
      </c>
      <c r="B10" s="29">
        <f>(B9-B3)/B9</f>
        <v/>
      </c>
      <c r="C10" s="29">
        <f>(C9-C3)/C9</f>
        <v/>
      </c>
      <c r="D10" s="29">
        <f>(D9-D3)/D9</f>
        <v/>
      </c>
      <c r="E10" s="22" t="inlineStr"/>
    </row>
    <row r="11">
      <c r="A11" s="22" t="inlineStr">
        <is>
          <t>Gross margin on their yr-1 cost</t>
        </is>
      </c>
      <c r="B11" s="29">
        <f>(B9-B4)/B9</f>
        <v/>
      </c>
      <c r="C11" s="29">
        <f>(C9-C4)/C9</f>
        <v/>
      </c>
      <c r="D11" s="29">
        <f>(D9-D4)/D9</f>
        <v/>
      </c>
      <c r="E11" s="22" t="inlineStr"/>
    </row>
    <row r="12">
      <c r="A12" s="22" t="inlineStr"/>
      <c r="B12" s="22" t="n"/>
      <c r="C12" s="22" t="n"/>
      <c r="D12" s="22" t="n"/>
      <c r="E12" s="22" t="n"/>
    </row>
    <row r="13">
      <c r="A13" s="22" t="inlineStr">
        <is>
          <t>RaaS per month (US)</t>
        </is>
      </c>
      <c r="B13" s="28" t="n">
        <v>2000</v>
      </c>
      <c r="C13" s="28" t="n">
        <v>2000</v>
      </c>
      <c r="D13" s="28" t="n">
        <v>2000</v>
      </c>
      <c r="E13" s="22" t="inlineStr">
        <is>
          <t>S075</t>
        </is>
      </c>
    </row>
    <row r="14">
      <c r="A14" s="22" t="inlineStr">
        <is>
          <t>Months of RaaS to recover our unit cost</t>
        </is>
      </c>
      <c r="B14" s="30">
        <f>B3/B13</f>
        <v/>
      </c>
      <c r="C14" s="30">
        <f>C3/C13</f>
        <v/>
      </c>
      <c r="D14" s="30">
        <f>D3/D13</f>
        <v/>
      </c>
      <c r="E14" s="22" t="inlineStr">
        <is>
          <t>Robot life in their model: 4 years = 48 months</t>
        </is>
      </c>
    </row>
    <row r="15">
      <c r="A15" s="22" t="inlineStr"/>
      <c r="B15" s="22" t="n"/>
      <c r="C15" s="22" t="n"/>
      <c r="D15" s="22" t="n"/>
      <c r="E15" s="22" t="n"/>
    </row>
    <row r="16">
      <c r="A16" s="31" t="inlineStr">
        <is>
          <t>Where a yr-5 cost of ~$24k could come from [INF]</t>
        </is>
      </c>
      <c r="B16" s="22" t="n"/>
      <c r="C16" s="22" t="n"/>
      <c r="D16" s="22" t="n"/>
      <c r="E16" s="22" t="n"/>
    </row>
    <row r="17">
      <c r="A17" s="22" t="inlineStr">
        <is>
          <t>1. Arm: UFACTORY 850 at volume/OEM, or a cheaper Chinese 6-axis arm</t>
        </is>
      </c>
      <c r="B17" s="22" t="n"/>
      <c r="C17" s="22" t="n"/>
      <c r="D17" s="22" t="n"/>
      <c r="E17" s="22" t="inlineStr">
        <is>
          <t>Arm + F/T are ~25% of the hardware</t>
        </is>
      </c>
    </row>
    <row r="18">
      <c r="A18" s="22" t="inlineStr">
        <is>
          <t>2. Steam: custom DC boiler instead of a stock Kärcher unit (also drops the inverter)</t>
        </is>
      </c>
      <c r="B18" s="22" t="n"/>
      <c r="C18" s="22" t="n"/>
      <c r="D18" s="22" t="n"/>
      <c r="E18" s="22" t="inlineStr"/>
    </row>
    <row r="19">
      <c r="A19" s="22" t="inlineStr">
        <is>
          <t>3. Sensors: one depth camera instead of 2–3; Mid-360 at bulk price</t>
        </is>
      </c>
      <c r="B19" s="22" t="n"/>
      <c r="C19" s="22" t="n"/>
      <c r="D19" s="22" t="n"/>
      <c r="E19" s="22" t="inlineStr"/>
    </row>
    <row r="20">
      <c r="A20" s="22" t="inlineStr">
        <is>
          <t>4. Battery at volume (~$150–200/kWh) and tooled plastics instead of hand-made panels</t>
        </is>
      </c>
      <c r="B20" s="22" t="n"/>
      <c r="C20" s="22" t="n"/>
      <c r="D20" s="22" t="n"/>
      <c r="E20" s="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0" customWidth="1" min="3" max="3"/>
    <col width="12" customWidth="1" min="4" max="4"/>
    <col width="12" customWidth="1" min="5" max="5"/>
    <col width="12" customWidth="1" min="6" max="6"/>
    <col width="36" customWidth="1" min="7" max="7"/>
    <col width="14" customWidth="1" min="8" max="8"/>
  </cols>
  <sheetData>
    <row r="1">
      <c r="A1" s="17" t="inlineStr">
        <is>
          <t>Item</t>
        </is>
      </c>
      <c r="B1" s="17" t="inlineStr">
        <is>
          <t>Vendor</t>
        </is>
      </c>
      <c r="C1" s="17" t="inlineStr">
        <is>
          <t>ID confidence</t>
        </is>
      </c>
      <c r="D1" s="17" t="inlineStr">
        <is>
          <t>Low / yr</t>
        </is>
      </c>
      <c r="E1" s="17" t="inlineStr">
        <is>
          <t>High / yr</t>
        </is>
      </c>
      <c r="F1" s="17" t="inlineStr">
        <is>
          <t>Mid / yr</t>
        </is>
      </c>
      <c r="G1" s="17" t="inlineStr">
        <is>
          <t>Basis</t>
        </is>
      </c>
      <c r="H1" s="17" t="inlineStr">
        <is>
          <t>KB evidence</t>
        </is>
      </c>
    </row>
    <row r="2">
      <c r="A2" t="inlineStr">
        <is>
          <t>Motion-planning licence</t>
        </is>
      </c>
      <c r="B2" t="inlineStr">
        <is>
          <t>PickNik MoveIt Pro</t>
        </is>
      </c>
      <c r="C2" t="inlineStr">
        <is>
          <t>Named (deck + code)</t>
        </is>
      </c>
      <c r="D2" s="32" t="n">
        <v>1000</v>
      </c>
      <c r="E2" s="32" t="n">
        <v>5000</v>
      </c>
      <c r="F2" s="32">
        <f>AVERAGE(D2,E2)</f>
        <v/>
      </c>
      <c r="G2" t="inlineStr">
        <is>
          <t>Pricing not public: guess</t>
        </is>
      </c>
      <c r="H2" t="inlineStr">
        <is>
          <t>S075, S071</t>
        </is>
      </c>
    </row>
    <row r="3">
      <c r="A3" t="inlineStr">
        <is>
          <t>Fleet management</t>
        </is>
      </c>
      <c r="B3" t="inlineStr">
        <is>
          <t>Formant</t>
        </is>
      </c>
      <c r="C3" t="inlineStr">
        <is>
          <t>Named (deck)</t>
        </is>
      </c>
      <c r="D3" s="32" t="n">
        <v>1200</v>
      </c>
      <c r="E3" s="32" t="n">
        <v>3600</v>
      </c>
      <c r="F3" s="32">
        <f>AVERAGE(D3,E3)</f>
        <v/>
      </c>
      <c r="G3" t="inlineStr">
        <is>
          <t>Guess (~$100–300/robot/month)</t>
        </is>
      </c>
      <c r="H3" t="inlineStr">
        <is>
          <t>S075</t>
        </is>
      </c>
    </row>
    <row r="4">
      <c r="A4" t="inlineStr">
        <is>
          <t>4G data</t>
        </is>
      </c>
      <c r="B4" t="inlineStr">
        <is>
          <t>Local carrier</t>
        </is>
      </c>
      <c r="C4" t="inlineStr">
        <is>
          <t>Spec named</t>
        </is>
      </c>
      <c r="D4" s="32" t="n">
        <v>120</v>
      </c>
      <c r="E4" s="32" t="n">
        <v>360</v>
      </c>
      <c r="F4" s="32">
        <f>AVERAGE(D4,E4)</f>
        <v/>
      </c>
      <c r="G4" t="inlineStr">
        <is>
          <t>Estimate</t>
        </is>
      </c>
      <c r="H4" t="inlineStr">
        <is>
          <t>S061</t>
        </is>
      </c>
    </row>
    <row r="5">
      <c r="A5" t="inlineStr">
        <is>
          <t>Consumables (chemical, filters, nozzles, seals)</t>
        </is>
      </c>
      <c r="B5" t="inlineStr">
        <is>
          <t>—</t>
        </is>
      </c>
      <c r="C5" t="inlineStr">
        <is>
          <t>Guess</t>
        </is>
      </c>
      <c r="D5" s="32" t="n">
        <v>300</v>
      </c>
      <c r="E5" s="32" t="n">
        <v>1000</v>
      </c>
      <c r="F5" s="32">
        <f>AVERAGE(D5,E5)</f>
        <v/>
      </c>
      <c r="G5" t="inlineStr">
        <is>
          <t>Estimate</t>
        </is>
      </c>
      <c r="H5" t="inlineStr"/>
    </row>
    <row r="6">
      <c r="A6" t="inlineStr">
        <is>
          <t>Steam unit service / descaling</t>
        </is>
      </c>
      <c r="B6" t="inlineStr">
        <is>
          <t>Kärcher (MOU partner)</t>
        </is>
      </c>
      <c r="C6" t="inlineStr">
        <is>
          <t>Guess</t>
        </is>
      </c>
      <c r="D6" s="32" t="n">
        <v>200</v>
      </c>
      <c r="E6" s="32" t="n">
        <v>600</v>
      </c>
      <c r="F6" s="32">
        <f>AVERAGE(D6,E6)</f>
        <v/>
      </c>
      <c r="G6" t="inlineStr">
        <is>
          <t>Estimate</t>
        </is>
      </c>
      <c r="H6" t="inlineStr">
        <is>
          <t>S075</t>
        </is>
      </c>
    </row>
    <row r="7">
      <c r="A7" s="33" t="inlineStr">
        <is>
          <t>Total per robot per year</t>
        </is>
      </c>
      <c r="D7" s="34">
        <f>SUM(D2:D6)</f>
        <v/>
      </c>
      <c r="E7" s="34">
        <f>SUM(E2:E6)</f>
        <v/>
      </c>
      <c r="F7" s="34">
        <f>SUM(F2:F6)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70" customWidth="1" min="2" max="2"/>
    <col width="90" customWidth="1" min="3" max="3"/>
  </cols>
  <sheetData>
    <row r="1">
      <c r="A1" s="17" t="inlineStr">
        <is>
          <t>ID</t>
        </is>
      </c>
      <c r="B1" s="17" t="inlineStr">
        <is>
          <t>What</t>
        </is>
      </c>
      <c r="C1" s="17" t="inlineStr">
        <is>
          <t>Where</t>
        </is>
      </c>
    </row>
    <row r="2">
      <c r="A2" s="22" t="inlineStr">
        <is>
          <t>S061</t>
        </is>
      </c>
      <c r="B2" s="22" t="inlineStr">
        <is>
          <t>Abluo MK-2 brochure (Mar 2026): specs, compute named</t>
        </is>
      </c>
      <c r="C2" s="22" t="inlineStr">
        <is>
          <t>hivebotics/65b2242e9_ABLUO_wf_3_compressed.pdf</t>
        </is>
      </c>
    </row>
    <row r="3">
      <c r="A3" s="22" t="inlineStr">
        <is>
          <t>S063</t>
        </is>
      </c>
      <c r="B3" s="22" t="inlineStr">
        <is>
          <t>Spec checks: UFACTORY 850, Livox Mid-360</t>
        </is>
      </c>
      <c r="C3" s="22" t="inlineStr">
        <is>
          <t>see SOURCES.md</t>
        </is>
      </c>
    </row>
    <row r="4">
      <c r="A4" s="22" t="inlineStr">
        <is>
          <t>S065</t>
        </is>
      </c>
      <c r="B4" s="22" t="inlineStr">
        <is>
          <t>Patent WO 2023/075687: pneumatic tool changer</t>
        </is>
      </c>
      <c r="C4" s="22" t="inlineStr">
        <is>
          <t>hivebotics/hivebotics-patent-WO2023075687.md</t>
        </is>
      </c>
    </row>
    <row r="5">
      <c r="A5" s="22" t="inlineStr">
        <is>
          <t>S071</t>
        </is>
      </c>
      <c r="B5" s="22" t="inlineStr">
        <is>
          <t>Hivebotics GitHub: UF850, F/T, OAK-D S2 PoE, Gemini 335Le, D435i, mecanum</t>
        </is>
      </c>
      <c r="C5" s="22" t="inlineStr">
        <is>
          <t>hivebotics/hivebotics-github.md</t>
        </is>
      </c>
    </row>
    <row r="6">
      <c r="A6" s="22" t="inlineStr">
        <is>
          <t>S072</t>
        </is>
      </c>
      <c r="B6" s="22" t="inlineStr">
        <is>
          <t>OAK-D S2 PoE spec match</t>
        </is>
      </c>
      <c r="C6" s="22" t="inlineStr">
        <is>
          <t>see SOURCES.md</t>
        </is>
      </c>
    </row>
    <row r="7">
      <c r="A7" s="22" t="inlineStr">
        <is>
          <t>S075</t>
        </is>
      </c>
      <c r="B7" s="22" t="inlineStr">
        <is>
          <t>Series A deck (Oct 2025): Kärcher MOU, custom AMR, tool switching, MoveIt Pro, Formant</t>
        </is>
      </c>
      <c r="C7" s="22" t="inlineStr">
        <is>
          <t>hivebotics/hivebotics-series-a-deck.md</t>
        </is>
      </c>
    </row>
    <row r="8">
      <c r="A8" s="22" t="inlineStr">
        <is>
          <t>S076</t>
        </is>
      </c>
      <c r="B8" s="22" t="inlineStr">
        <is>
          <t>Financial model / ROI calculator (Jul 2024): unit cost, price, RaaS</t>
        </is>
      </c>
      <c r="C8" s="22" t="inlineStr">
        <is>
          <t>local only (confidential)</t>
        </is>
      </c>
    </row>
    <row r="9">
      <c r="A9" s="22" t="inlineStr">
        <is>
          <t>S104</t>
        </is>
      </c>
      <c r="B9" s="22" t="inlineStr">
        <is>
          <t>Component list-price checks, 2026-10-20</t>
        </is>
      </c>
      <c r="C9" s="22" t="inlineStr">
        <is>
          <t>ufactory.cc / robotshop.com (UF850, DC box, F/T) · livoxtech.com + dronexl.co (Mid-360) · luxonis.com (OAK-D S2 PoE) · roboticscenter.ai, robotshop.com (Orbbec 335Le/335L) · catering-appliance.com, hardwarecity.com.sg, rs-online datasheet (Kärcher SGV 8/5)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2026-10-20T16:17:21Z</dcterms:created>
  <dcterms:modified xmlns:dcterms="http://purl.org/dc/terms/" xmlns:xsi="http://www.w3.org/2001/XMLSchema-instance" xsi:type="dcterms:W3CDTF">2026-10-20T16:17:21Z</dcterms:modified>
</cp:coreProperties>
</file>